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MH3\Quotation\Doors\"/>
    </mc:Choice>
  </mc:AlternateContent>
  <xr:revisionPtr revIDLastSave="0" documentId="13_ncr:1_{A8542F44-E7A5-4F6B-98B6-F24A65E5E7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Sheet1!$A$1:$Q$56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1" l="1"/>
  <c r="T35" i="1"/>
  <c r="T32" i="1"/>
  <c r="T23" i="1"/>
  <c r="T14" i="1"/>
  <c r="R32" i="1"/>
  <c r="R23" i="1"/>
  <c r="R14" i="1"/>
  <c r="C40" i="1" l="1"/>
  <c r="G14" i="1"/>
  <c r="G32" i="1"/>
  <c r="A1" i="1"/>
  <c r="N32" i="1"/>
  <c r="O32" i="1"/>
  <c r="P32" i="1" s="1"/>
  <c r="Q32" i="1" s="1"/>
  <c r="H32" i="1"/>
  <c r="I32" i="1" s="1"/>
  <c r="J32" i="1" s="1"/>
  <c r="O23" i="1"/>
  <c r="P23" i="1" s="1"/>
  <c r="Q23" i="1" s="1"/>
  <c r="N23" i="1"/>
  <c r="H23" i="1"/>
  <c r="I23" i="1" s="1"/>
  <c r="J23" i="1" s="1"/>
  <c r="G23" i="1"/>
  <c r="G40" i="1" l="1"/>
  <c r="O14" i="1"/>
  <c r="N14" i="1"/>
  <c r="N40" i="1" s="1"/>
  <c r="H14" i="1"/>
  <c r="I14" i="1" s="1"/>
  <c r="J14" i="1" s="1"/>
  <c r="J40" i="1" s="1"/>
  <c r="P14" i="1" l="1"/>
  <c r="O47" i="1"/>
  <c r="L47" i="1"/>
  <c r="L48" i="1"/>
  <c r="L49" i="1" l="1"/>
  <c r="Q14" i="1"/>
  <c r="Q40" i="1" l="1"/>
  <c r="O48" i="1" s="1"/>
  <c r="O49" i="1" s="1"/>
</calcChain>
</file>

<file path=xl/sharedStrings.xml><?xml version="1.0" encoding="utf-8"?>
<sst xmlns="http://schemas.openxmlformats.org/spreadsheetml/2006/main" count="141" uniqueCount="101">
  <si>
    <t>Type</t>
  </si>
  <si>
    <t xml:space="preserve">DOOR  FRAMES </t>
  </si>
  <si>
    <t>DOORS</t>
  </si>
  <si>
    <t>Sl. Nos.</t>
  </si>
  <si>
    <t>Qty.      (Nos)</t>
  </si>
  <si>
    <t>Description</t>
  </si>
  <si>
    <t xml:space="preserve">Rate per Frame </t>
  </si>
  <si>
    <t>Basic Amount</t>
  </si>
  <si>
    <t>GST @ 18%</t>
  </si>
  <si>
    <t xml:space="preserve">Cost / Frame inclusive of Taxes </t>
  </si>
  <si>
    <t>Total cost of the Frames</t>
  </si>
  <si>
    <t>Rate Per Door</t>
  </si>
  <si>
    <t xml:space="preserve">Cost / Door inclusive of Taxes </t>
  </si>
  <si>
    <t>Total cost of the Doors</t>
  </si>
  <si>
    <t>Without  Sil</t>
  </si>
  <si>
    <t>Main Door Type</t>
  </si>
  <si>
    <t>Flush Door</t>
  </si>
  <si>
    <t>Timber Specie</t>
  </si>
  <si>
    <t>Size</t>
  </si>
  <si>
    <t>Front &amp; Back Face</t>
  </si>
  <si>
    <t>Section</t>
  </si>
  <si>
    <t>Infill</t>
  </si>
  <si>
    <t>Particle Board</t>
  </si>
  <si>
    <t xml:space="preserve">Front  Architrave </t>
  </si>
  <si>
    <t>Top &amp; Bottom Substrate</t>
  </si>
  <si>
    <t>Back Architrave</t>
  </si>
  <si>
    <t>Edge Banding</t>
  </si>
  <si>
    <t>Veneer</t>
  </si>
  <si>
    <t>Finish</t>
  </si>
  <si>
    <t>Particle board</t>
  </si>
  <si>
    <t>Ext. Grade HDF</t>
  </si>
  <si>
    <r>
      <t>NOTE</t>
    </r>
    <r>
      <rPr>
        <b/>
        <sz val="14"/>
        <rFont val="Sylfaen"/>
        <family val="1"/>
      </rPr>
      <t xml:space="preserve"> :-</t>
    </r>
  </si>
  <si>
    <r>
      <t xml:space="preserve">Taxes           </t>
    </r>
    <r>
      <rPr>
        <b/>
        <sz val="16"/>
        <color theme="1"/>
        <rFont val="Sylfaen"/>
        <family val="1"/>
      </rPr>
      <t xml:space="preserve">:  </t>
    </r>
    <r>
      <rPr>
        <sz val="11"/>
        <color theme="1"/>
        <rFont val="Sylfaen"/>
        <family val="1"/>
      </rPr>
      <t>Rates quoted are inclusive of taxes i.e, GST @ 18%. Any changes in taxes will be to client's account.</t>
    </r>
  </si>
  <si>
    <r>
      <t xml:space="preserve">Machining   </t>
    </r>
    <r>
      <rPr>
        <b/>
        <sz val="16"/>
        <color theme="1"/>
        <rFont val="Sylfaen"/>
        <family val="1"/>
      </rPr>
      <t xml:space="preserve">:  </t>
    </r>
    <r>
      <rPr>
        <sz val="11"/>
        <color theme="1"/>
        <rFont val="Sylfaen"/>
        <family val="1"/>
      </rPr>
      <t xml:space="preserve">The above rates includes CNC machining for Locks &amp; Hinges. </t>
    </r>
  </si>
  <si>
    <r>
      <t xml:space="preserve">Infill           </t>
    </r>
    <r>
      <rPr>
        <b/>
        <sz val="16"/>
        <rFont val="Sylfaen"/>
        <family val="1"/>
      </rPr>
      <t xml:space="preserve">:  </t>
    </r>
    <r>
      <rPr>
        <b/>
        <sz val="11"/>
        <rFont val="Sylfaen"/>
        <family val="1"/>
      </rPr>
      <t>Doors infill will be densified door grade Particle Board OR Tubular.</t>
    </r>
  </si>
  <si>
    <t>Basic Amount :</t>
  </si>
  <si>
    <t>Incl. Taxes Amount :</t>
  </si>
  <si>
    <t>Frames</t>
  </si>
  <si>
    <r>
      <t xml:space="preserve">Tolerance   :   </t>
    </r>
    <r>
      <rPr>
        <sz val="12"/>
        <color theme="1"/>
        <rFont val="Sylfaen"/>
        <family val="1"/>
      </rPr>
      <t>Raw material tolerance need to be taken into account</t>
    </r>
  </si>
  <si>
    <t>Doors</t>
  </si>
  <si>
    <r>
      <t xml:space="preserve">Fixing         </t>
    </r>
    <r>
      <rPr>
        <b/>
        <sz val="16"/>
        <color theme="1"/>
        <rFont val="Sylfaen"/>
        <family val="1"/>
      </rPr>
      <t xml:space="preserve">:  </t>
    </r>
    <r>
      <rPr>
        <sz val="11"/>
        <color theme="1"/>
        <rFont val="Sylfaen"/>
        <family val="1"/>
      </rPr>
      <t>The above rate does not include Fixing, Hardware, Glass &amp; any another accessories.</t>
    </r>
  </si>
  <si>
    <t>Total….</t>
  </si>
  <si>
    <r>
      <t xml:space="preserve">Moisture     </t>
    </r>
    <r>
      <rPr>
        <b/>
        <sz val="16"/>
        <color theme="1"/>
        <rFont val="Sylfaen"/>
        <family val="1"/>
      </rPr>
      <t xml:space="preserve">:  </t>
    </r>
    <r>
      <rPr>
        <b/>
        <sz val="11"/>
        <color theme="1"/>
        <rFont val="Sylfaen"/>
        <family val="1"/>
      </rPr>
      <t xml:space="preserve">Timber for frames  will be KILN dried. </t>
    </r>
  </si>
  <si>
    <r>
      <t xml:space="preserve">Liability      </t>
    </r>
    <r>
      <rPr>
        <b/>
        <sz val="16"/>
        <color theme="1"/>
        <rFont val="Sylfaen"/>
        <family val="1"/>
      </rPr>
      <t xml:space="preserve">:  </t>
    </r>
    <r>
      <rPr>
        <sz val="11"/>
        <color theme="1"/>
        <rFont val="Sylfaen"/>
        <family val="1"/>
      </rPr>
      <t>Company liability, limited only to the product supplied.</t>
    </r>
  </si>
  <si>
    <r>
      <t xml:space="preserve">Timber        </t>
    </r>
    <r>
      <rPr>
        <b/>
        <sz val="16"/>
        <color theme="1"/>
        <rFont val="Sylfaen"/>
        <family val="1"/>
      </rPr>
      <t xml:space="preserve">:  </t>
    </r>
    <r>
      <rPr>
        <sz val="11"/>
        <color theme="1"/>
        <rFont val="Sylfaen"/>
        <family val="1"/>
      </rPr>
      <t xml:space="preserve">Timber being a natural product has colour variations and it can not be expected that all material supplied will be of the same grain &amp; colour. </t>
    </r>
  </si>
  <si>
    <r>
      <t xml:space="preserve">Infestation   :  </t>
    </r>
    <r>
      <rPr>
        <sz val="12"/>
        <color theme="1"/>
        <rFont val="Sylfaen"/>
        <family val="1"/>
      </rPr>
      <t>Termite attack on wood is an external infestation, the soil / site needs to be fumigated. We do not guarantee against termite attacks.</t>
    </r>
  </si>
  <si>
    <r>
      <t xml:space="preserve">Duration      </t>
    </r>
    <r>
      <rPr>
        <b/>
        <sz val="16"/>
        <color theme="1"/>
        <rFont val="Sylfaen"/>
        <family val="1"/>
      </rPr>
      <t xml:space="preserve">:  </t>
    </r>
    <r>
      <rPr>
        <sz val="11"/>
        <color theme="1"/>
        <rFont val="Sylfaen"/>
        <family val="1"/>
      </rPr>
      <t>Quote valid for a period of 25 days.</t>
    </r>
  </si>
  <si>
    <t>Abbreviation  : FJ Finger Jointed &amp;  EG Edge glued, LVL- Laminated Veneer Lumber</t>
  </si>
  <si>
    <t>Any mistakes in the quotation, will be updated immediately.</t>
  </si>
  <si>
    <t>imran@grouparyan.com</t>
  </si>
  <si>
    <t xml:space="preserve">Flush  Door </t>
  </si>
  <si>
    <t>Aryan wood Products Pvt Ltd</t>
  </si>
  <si>
    <t>Contact Person : Mr. Imran - 9353365565</t>
  </si>
  <si>
    <r>
      <t xml:space="preserve">Freight        </t>
    </r>
    <r>
      <rPr>
        <b/>
        <sz val="16"/>
        <color theme="1"/>
        <rFont val="Sylfaen"/>
        <family val="1"/>
      </rPr>
      <t xml:space="preserve">:  </t>
    </r>
    <r>
      <rPr>
        <sz val="11"/>
        <color theme="1"/>
        <rFont val="Sylfaen"/>
        <family val="1"/>
      </rPr>
      <t>The above rates are Inclusive of freight / Unloading charges.</t>
    </r>
  </si>
  <si>
    <r>
      <t xml:space="preserve">Architraves </t>
    </r>
    <r>
      <rPr>
        <b/>
        <sz val="16"/>
        <color theme="1"/>
        <rFont val="Sylfaen"/>
        <family val="1"/>
      </rPr>
      <t xml:space="preserve">:  </t>
    </r>
    <r>
      <rPr>
        <b/>
        <sz val="11"/>
        <color theme="1"/>
        <rFont val="Sylfaen"/>
        <family val="1"/>
      </rPr>
      <t>Exterior grade MDF with Veneer pressed on one side, HDHMR with Flexilam wrapped for laminate shutters.</t>
    </r>
  </si>
  <si>
    <t>Thickness</t>
  </si>
  <si>
    <t>City : Bangalore</t>
  </si>
  <si>
    <t>Without Sil</t>
  </si>
  <si>
    <t>Front Architrave</t>
  </si>
  <si>
    <t>Finsh</t>
  </si>
  <si>
    <t>Edge Binding</t>
  </si>
  <si>
    <t>`</t>
  </si>
  <si>
    <t xml:space="preserve">Back Architrave </t>
  </si>
  <si>
    <t xml:space="preserve">Client : </t>
  </si>
  <si>
    <t xml:space="preserve">Project   Name: </t>
  </si>
  <si>
    <t>TOTAL</t>
  </si>
  <si>
    <t xml:space="preserve">* QUOTATION  "  </t>
  </si>
  <si>
    <t>Bedroom Door Type</t>
  </si>
  <si>
    <t>100 x 40mm</t>
  </si>
  <si>
    <t>Payments</t>
  </si>
  <si>
    <t xml:space="preserve">  : 50% advance against confirmed order and balance before dispatch.</t>
  </si>
  <si>
    <t xml:space="preserve">PU  Polish </t>
  </si>
  <si>
    <t>Main Door Frame</t>
  </si>
  <si>
    <t>With Sil</t>
  </si>
  <si>
    <t xml:space="preserve">LVL with Flexilam wrap </t>
  </si>
  <si>
    <t>Nil</t>
  </si>
  <si>
    <t>Toilet Door Frame</t>
  </si>
  <si>
    <t>Ref No. :  AWPL / QTN /26-27</t>
  </si>
  <si>
    <t>Date-30-04-2026</t>
  </si>
  <si>
    <t>Mighty Homes</t>
  </si>
  <si>
    <t>Mighty Yuva</t>
  </si>
  <si>
    <t>FG/EG Teakwood</t>
  </si>
  <si>
    <t>1200x2400mm</t>
  </si>
  <si>
    <t>125x 40mm</t>
  </si>
  <si>
    <t>Bedroom Door Frame</t>
  </si>
  <si>
    <t>900X 2400mm</t>
  </si>
  <si>
    <t>PVC</t>
  </si>
  <si>
    <t xml:space="preserve">PVC </t>
  </si>
  <si>
    <t>Toilet Door Type</t>
  </si>
  <si>
    <t>Veneer Flush Shutter with Ver &amp; Hz grooves on both sides.</t>
  </si>
  <si>
    <t>800x 2400mm</t>
  </si>
  <si>
    <t>75x12mm L type wall panel  with veneer wrap in laminated timber</t>
  </si>
  <si>
    <t>30x12mm Flat Type Laminated timber with veneer wrap</t>
  </si>
  <si>
    <t xml:space="preserve">40mm </t>
  </si>
  <si>
    <t>Laminate Flush Shutter - 0.8mm</t>
  </si>
  <si>
    <t>Revised on 14.05.2026</t>
  </si>
  <si>
    <t>Red Meranti</t>
  </si>
  <si>
    <t>PU PAINT</t>
  </si>
  <si>
    <t>50x12mm HDHMR with Paintable Flexilam</t>
  </si>
  <si>
    <t>30x12mm HDHMR with Paintable Flexilam</t>
  </si>
  <si>
    <t>Final Revised on 14.05.2026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</si>
</sst>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ylfaen"/>
      <family val="1"/>
    </font>
    <font>
      <b/>
      <sz val="22"/>
      <color theme="1"/>
      <name val="Sylfaen"/>
      <family val="1"/>
    </font>
    <font>
      <b/>
      <sz val="12"/>
      <name val="Sylfaen"/>
      <family val="1"/>
    </font>
    <font>
      <b/>
      <sz val="16"/>
      <color theme="1"/>
      <name val="Sylfaen"/>
      <family val="1"/>
    </font>
    <font>
      <sz val="11"/>
      <name val="Sylfaen"/>
      <family val="1"/>
    </font>
    <font>
      <sz val="12"/>
      <name val="Sylfaen"/>
      <family val="1"/>
    </font>
    <font>
      <b/>
      <sz val="13"/>
      <color theme="1"/>
      <name val="Sylfaen"/>
      <family val="1"/>
    </font>
    <font>
      <b/>
      <sz val="12"/>
      <color theme="1"/>
      <name val="Sylfaen"/>
      <family val="1"/>
    </font>
    <font>
      <b/>
      <sz val="11"/>
      <color rgb="FFFF0000"/>
      <name val="Sylfaen"/>
      <family val="1"/>
    </font>
    <font>
      <b/>
      <sz val="13"/>
      <name val="Sylfaen"/>
      <family val="1"/>
    </font>
    <font>
      <sz val="18"/>
      <name val="Sylfaen"/>
      <family val="1"/>
    </font>
    <font>
      <b/>
      <sz val="12"/>
      <color rgb="FFFF0000"/>
      <name val="Sylfaen"/>
      <family val="1"/>
    </font>
    <font>
      <b/>
      <sz val="16"/>
      <name val="Sylfaen"/>
      <family val="1"/>
    </font>
    <font>
      <u/>
      <sz val="10"/>
      <color indexed="36"/>
      <name val="Arial"/>
      <family val="2"/>
    </font>
    <font>
      <b/>
      <sz val="14"/>
      <name val="Sylfaen"/>
      <family val="1"/>
    </font>
    <font>
      <b/>
      <sz val="10"/>
      <name val="Sylfaen"/>
      <family val="1"/>
    </font>
    <font>
      <b/>
      <sz val="10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1"/>
      <name val="Sylfaen"/>
      <family val="1"/>
    </font>
    <font>
      <sz val="13"/>
      <name val="Sylfaen"/>
      <family val="1"/>
    </font>
    <font>
      <b/>
      <sz val="14"/>
      <color theme="1"/>
      <name val="Sylfaen"/>
      <family val="1"/>
    </font>
    <font>
      <sz val="12"/>
      <color theme="1"/>
      <name val="Sylfaen"/>
      <family val="1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9"/>
      <color theme="1"/>
      <name val="Sylfae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</cellStyleXfs>
  <cellXfs count="166">
    <xf numFmtId="0" fontId="0" fillId="0" borderId="0" xfId="0"/>
    <xf numFmtId="0" fontId="2" fillId="0" borderId="0" xfId="0" applyFont="1"/>
    <xf numFmtId="43" fontId="7" fillId="2" borderId="0" xfId="1" applyFont="1" applyFill="1" applyBorder="1"/>
    <xf numFmtId="0" fontId="2" fillId="2" borderId="0" xfId="0" applyFont="1" applyFill="1"/>
    <xf numFmtId="0" fontId="19" fillId="0" borderId="0" xfId="0" applyFont="1"/>
    <xf numFmtId="0" fontId="20" fillId="2" borderId="10" xfId="0" applyFont="1" applyFill="1" applyBorder="1" applyAlignment="1">
      <alignment horizontal="center"/>
    </xf>
    <xf numFmtId="0" fontId="19" fillId="2" borderId="12" xfId="0" applyFont="1" applyFill="1" applyBorder="1"/>
    <xf numFmtId="0" fontId="19" fillId="2" borderId="11" xfId="0" applyFont="1" applyFill="1" applyBorder="1"/>
    <xf numFmtId="0" fontId="10" fillId="2" borderId="11" xfId="0" applyFont="1" applyFill="1" applyBorder="1" applyAlignment="1">
      <alignment horizontal="left" vertical="top"/>
    </xf>
    <xf numFmtId="0" fontId="2" fillId="0" borderId="0" xfId="0" applyFont="1" applyAlignment="1">
      <alignment vertical="center"/>
    </xf>
    <xf numFmtId="0" fontId="9" fillId="2" borderId="14" xfId="0" applyFont="1" applyFill="1" applyBorder="1" applyAlignment="1">
      <alignment vertical="center"/>
    </xf>
    <xf numFmtId="0" fontId="19" fillId="2" borderId="15" xfId="0" applyFont="1" applyFill="1" applyBorder="1" applyAlignment="1">
      <alignment vertical="center"/>
    </xf>
    <xf numFmtId="43" fontId="9" fillId="2" borderId="15" xfId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43" fontId="9" fillId="2" borderId="15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vertical="center"/>
    </xf>
    <xf numFmtId="0" fontId="23" fillId="8" borderId="16" xfId="0" applyFont="1" applyFill="1" applyBorder="1" applyAlignment="1">
      <alignment vertical="center"/>
    </xf>
    <xf numFmtId="0" fontId="23" fillId="8" borderId="17" xfId="0" applyFont="1" applyFill="1" applyBorder="1" applyAlignment="1">
      <alignment vertical="center"/>
    </xf>
    <xf numFmtId="0" fontId="8" fillId="8" borderId="16" xfId="0" applyFont="1" applyFill="1" applyBorder="1" applyAlignment="1">
      <alignment vertical="center"/>
    </xf>
    <xf numFmtId="0" fontId="8" fillId="8" borderId="18" xfId="0" applyFont="1" applyFill="1" applyBorder="1" applyAlignment="1">
      <alignment vertical="center"/>
    </xf>
    <xf numFmtId="0" fontId="8" fillId="8" borderId="17" xfId="0" applyFont="1" applyFill="1" applyBorder="1" applyAlignment="1">
      <alignment vertical="center"/>
    </xf>
    <xf numFmtId="0" fontId="9" fillId="9" borderId="19" xfId="0" applyFont="1" applyFill="1" applyBorder="1" applyAlignment="1">
      <alignment vertical="center"/>
    </xf>
    <xf numFmtId="164" fontId="9" fillId="9" borderId="20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horizontal="left" vertical="center" wrapText="1"/>
    </xf>
    <xf numFmtId="0" fontId="9" fillId="9" borderId="22" xfId="0" applyFont="1" applyFill="1" applyBorder="1" applyAlignment="1">
      <alignment vertical="center"/>
    </xf>
    <xf numFmtId="164" fontId="9" fillId="9" borderId="23" xfId="0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9" fillId="10" borderId="24" xfId="0" applyFont="1" applyFill="1" applyBorder="1" applyAlignment="1">
      <alignment vertical="center"/>
    </xf>
    <xf numFmtId="164" fontId="9" fillId="10" borderId="25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9" fillId="2" borderId="14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4" fillId="2" borderId="15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9" fillId="0" borderId="9" xfId="0" applyFont="1" applyBorder="1"/>
    <xf numFmtId="0" fontId="9" fillId="0" borderId="28" xfId="0" applyFont="1" applyBorder="1"/>
    <xf numFmtId="0" fontId="4" fillId="0" borderId="29" xfId="0" applyFont="1" applyBorder="1"/>
    <xf numFmtId="0" fontId="19" fillId="2" borderId="30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9" fillId="2" borderId="31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43" fontId="4" fillId="2" borderId="0" xfId="1" applyFont="1" applyFill="1" applyBorder="1"/>
    <xf numFmtId="164" fontId="19" fillId="2" borderId="11" xfId="0" applyNumberFormat="1" applyFont="1" applyFill="1" applyBorder="1" applyAlignment="1">
      <alignment vertical="center"/>
    </xf>
    <xf numFmtId="0" fontId="2" fillId="0" borderId="33" xfId="0" applyFont="1" applyBorder="1"/>
    <xf numFmtId="0" fontId="2" fillId="0" borderId="1" xfId="0" applyFont="1" applyBorder="1"/>
    <xf numFmtId="0" fontId="8" fillId="2" borderId="35" xfId="0" applyFont="1" applyFill="1" applyBorder="1" applyAlignment="1">
      <alignment vertical="center"/>
    </xf>
    <xf numFmtId="0" fontId="5" fillId="2" borderId="0" xfId="0" applyFont="1" applyFill="1" applyAlignment="1">
      <alignment horizontal="left"/>
    </xf>
    <xf numFmtId="0" fontId="27" fillId="2" borderId="0" xfId="0" applyFont="1" applyFill="1"/>
    <xf numFmtId="0" fontId="9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11" fillId="2" borderId="35" xfId="0" applyFont="1" applyFill="1" applyBorder="1" applyAlignment="1">
      <alignment vertical="center"/>
    </xf>
    <xf numFmtId="0" fontId="9" fillId="2" borderId="0" xfId="0" applyFont="1" applyFill="1"/>
    <xf numFmtId="0" fontId="12" fillId="2" borderId="0" xfId="0" applyFont="1" applyFill="1"/>
    <xf numFmtId="0" fontId="13" fillId="2" borderId="0" xfId="0" applyFont="1" applyFill="1" applyAlignment="1">
      <alignment horizontal="right"/>
    </xf>
    <xf numFmtId="0" fontId="26" fillId="0" borderId="35" xfId="3" applyFont="1" applyBorder="1"/>
    <xf numFmtId="0" fontId="14" fillId="2" borderId="0" xfId="0" applyFont="1" applyFill="1"/>
    <xf numFmtId="43" fontId="4" fillId="2" borderId="35" xfId="1" applyFont="1" applyFill="1" applyBorder="1" applyAlignment="1"/>
    <xf numFmtId="0" fontId="9" fillId="2" borderId="14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left" vertical="center"/>
    </xf>
    <xf numFmtId="0" fontId="19" fillId="2" borderId="39" xfId="0" applyFont="1" applyFill="1" applyBorder="1"/>
    <xf numFmtId="0" fontId="17" fillId="5" borderId="40" xfId="0" applyFont="1" applyFill="1" applyBorder="1" applyAlignment="1" applyProtection="1">
      <alignment horizontal="center" vertical="center" wrapText="1"/>
      <protection locked="0" hidden="1"/>
    </xf>
    <xf numFmtId="0" fontId="17" fillId="5" borderId="41" xfId="0" applyFont="1" applyFill="1" applyBorder="1" applyAlignment="1" applyProtection="1">
      <alignment horizontal="center" vertical="center" wrapText="1"/>
      <protection locked="0" hidden="1"/>
    </xf>
    <xf numFmtId="0" fontId="17" fillId="5" borderId="42" xfId="0" applyFont="1" applyFill="1" applyBorder="1" applyAlignment="1" applyProtection="1">
      <alignment horizontal="center" vertical="center" wrapText="1"/>
      <protection locked="0" hidden="1"/>
    </xf>
    <xf numFmtId="0" fontId="18" fillId="5" borderId="8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 applyProtection="1">
      <alignment horizontal="center" vertical="center" wrapText="1"/>
      <protection locked="0" hidden="1"/>
    </xf>
    <xf numFmtId="0" fontId="18" fillId="5" borderId="41" xfId="0" applyFont="1" applyFill="1" applyBorder="1" applyAlignment="1">
      <alignment horizontal="center" vertical="center" wrapText="1"/>
    </xf>
    <xf numFmtId="0" fontId="17" fillId="5" borderId="43" xfId="0" applyFont="1" applyFill="1" applyBorder="1" applyAlignment="1" applyProtection="1">
      <alignment horizontal="center" vertical="center" wrapText="1"/>
      <protection locked="0" hidden="1"/>
    </xf>
    <xf numFmtId="0" fontId="20" fillId="2" borderId="39" xfId="0" applyFont="1" applyFill="1" applyBorder="1" applyAlignment="1">
      <alignment horizontal="center"/>
    </xf>
    <xf numFmtId="0" fontId="20" fillId="2" borderId="39" xfId="0" applyFont="1" applyFill="1" applyBorder="1" applyAlignment="1">
      <alignment horizontal="left"/>
    </xf>
    <xf numFmtId="164" fontId="19" fillId="2" borderId="39" xfId="0" applyNumberFormat="1" applyFont="1" applyFill="1" applyBorder="1"/>
    <xf numFmtId="164" fontId="6" fillId="2" borderId="39" xfId="0" applyNumberFormat="1" applyFont="1" applyFill="1" applyBorder="1" applyAlignment="1">
      <alignment horizontal="center"/>
    </xf>
    <xf numFmtId="0" fontId="19" fillId="2" borderId="39" xfId="0" applyFont="1" applyFill="1" applyBorder="1" applyAlignment="1">
      <alignment horizontal="left" vertical="center"/>
    </xf>
    <xf numFmtId="0" fontId="20" fillId="2" borderId="39" xfId="0" applyFont="1" applyFill="1" applyBorder="1" applyAlignment="1">
      <alignment horizontal="left" vertical="center" wrapText="1"/>
    </xf>
    <xf numFmtId="43" fontId="22" fillId="2" borderId="39" xfId="1" applyFont="1" applyFill="1" applyBorder="1" applyAlignment="1"/>
    <xf numFmtId="43" fontId="7" fillId="2" borderId="39" xfId="1" applyFont="1" applyFill="1" applyBorder="1" applyAlignment="1"/>
    <xf numFmtId="0" fontId="6" fillId="2" borderId="39" xfId="0" applyFont="1" applyFill="1" applyBorder="1" applyAlignment="1">
      <alignment horizontal="left" vertical="center"/>
    </xf>
    <xf numFmtId="0" fontId="20" fillId="2" borderId="39" xfId="0" applyFont="1" applyFill="1" applyBorder="1" applyAlignment="1">
      <alignment horizontal="center" vertical="center"/>
    </xf>
    <xf numFmtId="0" fontId="19" fillId="2" borderId="39" xfId="0" applyFont="1" applyFill="1" applyBorder="1" applyAlignment="1">
      <alignment horizontal="left" vertical="center" wrapText="1"/>
    </xf>
    <xf numFmtId="0" fontId="19" fillId="2" borderId="39" xfId="0" applyFont="1" applyFill="1" applyBorder="1" applyAlignment="1">
      <alignment vertical="center"/>
    </xf>
    <xf numFmtId="0" fontId="10" fillId="2" borderId="39" xfId="0" applyFont="1" applyFill="1" applyBorder="1" applyAlignment="1">
      <alignment horizontal="left" vertical="top"/>
    </xf>
    <xf numFmtId="164" fontId="19" fillId="2" borderId="39" xfId="0" applyNumberFormat="1" applyFont="1" applyFill="1" applyBorder="1" applyAlignment="1">
      <alignment vertical="center"/>
    </xf>
    <xf numFmtId="164" fontId="6" fillId="2" borderId="39" xfId="0" applyNumberFormat="1" applyFont="1" applyFill="1" applyBorder="1" applyAlignment="1">
      <alignment horizontal="center" vertical="center"/>
    </xf>
    <xf numFmtId="0" fontId="20" fillId="2" borderId="44" xfId="0" applyFont="1" applyFill="1" applyBorder="1" applyAlignment="1">
      <alignment horizontal="center"/>
    </xf>
    <xf numFmtId="0" fontId="20" fillId="2" borderId="45" xfId="0" applyFont="1" applyFill="1" applyBorder="1" applyAlignment="1">
      <alignment horizontal="center"/>
    </xf>
    <xf numFmtId="0" fontId="21" fillId="2" borderId="45" xfId="0" applyFont="1" applyFill="1" applyBorder="1" applyAlignment="1">
      <alignment horizontal="left"/>
    </xf>
    <xf numFmtId="0" fontId="20" fillId="2" borderId="45" xfId="0" applyFont="1" applyFill="1" applyBorder="1" applyAlignment="1">
      <alignment horizontal="left"/>
    </xf>
    <xf numFmtId="164" fontId="19" fillId="2" borderId="45" xfId="0" applyNumberFormat="1" applyFont="1" applyFill="1" applyBorder="1"/>
    <xf numFmtId="164" fontId="6" fillId="2" borderId="45" xfId="0" applyNumberFormat="1" applyFont="1" applyFill="1" applyBorder="1" applyAlignment="1">
      <alignment horizontal="center"/>
    </xf>
    <xf numFmtId="164" fontId="6" fillId="2" borderId="46" xfId="0" applyNumberFormat="1" applyFont="1" applyFill="1" applyBorder="1" applyAlignment="1">
      <alignment horizontal="center"/>
    </xf>
    <xf numFmtId="0" fontId="20" fillId="2" borderId="47" xfId="0" applyFont="1" applyFill="1" applyBorder="1" applyAlignment="1">
      <alignment horizontal="center"/>
    </xf>
    <xf numFmtId="164" fontId="6" fillId="2" borderId="48" xfId="0" applyNumberFormat="1" applyFont="1" applyFill="1" applyBorder="1" applyAlignment="1">
      <alignment horizontal="center"/>
    </xf>
    <xf numFmtId="0" fontId="19" fillId="2" borderId="48" xfId="0" applyFont="1" applyFill="1" applyBorder="1"/>
    <xf numFmtId="0" fontId="20" fillId="2" borderId="49" xfId="0" applyFont="1" applyFill="1" applyBorder="1" applyAlignment="1">
      <alignment horizontal="center"/>
    </xf>
    <xf numFmtId="0" fontId="20" fillId="2" borderId="50" xfId="0" applyFont="1" applyFill="1" applyBorder="1" applyAlignment="1">
      <alignment horizontal="center"/>
    </xf>
    <xf numFmtId="0" fontId="10" fillId="2" borderId="50" xfId="0" applyFont="1" applyFill="1" applyBorder="1" applyAlignment="1">
      <alignment horizontal="left" vertical="top"/>
    </xf>
    <xf numFmtId="0" fontId="19" fillId="2" borderId="50" xfId="0" applyFont="1" applyFill="1" applyBorder="1"/>
    <xf numFmtId="0" fontId="19" fillId="2" borderId="51" xfId="0" applyFont="1" applyFill="1" applyBorder="1"/>
    <xf numFmtId="0" fontId="20" fillId="2" borderId="47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0" fontId="20" fillId="2" borderId="11" xfId="0" applyFont="1" applyFill="1" applyBorder="1" applyAlignment="1">
      <alignment horizontal="center"/>
    </xf>
    <xf numFmtId="0" fontId="20" fillId="2" borderId="45" xfId="0" applyFont="1" applyFill="1" applyBorder="1" applyAlignment="1">
      <alignment horizontal="left" vertical="center"/>
    </xf>
    <xf numFmtId="164" fontId="19" fillId="2" borderId="50" xfId="0" applyNumberFormat="1" applyFont="1" applyFill="1" applyBorder="1" applyAlignment="1">
      <alignment vertical="center"/>
    </xf>
    <xf numFmtId="164" fontId="6" fillId="2" borderId="50" xfId="0" applyNumberFormat="1" applyFont="1" applyFill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/>
    </xf>
    <xf numFmtId="164" fontId="19" fillId="2" borderId="50" xfId="0" applyNumberFormat="1" applyFont="1" applyFill="1" applyBorder="1"/>
    <xf numFmtId="164" fontId="6" fillId="2" borderId="50" xfId="0" applyNumberFormat="1" applyFont="1" applyFill="1" applyBorder="1" applyAlignment="1">
      <alignment horizontal="center"/>
    </xf>
    <xf numFmtId="164" fontId="6" fillId="2" borderId="51" xfId="0" applyNumberFormat="1" applyFont="1" applyFill="1" applyBorder="1" applyAlignment="1">
      <alignment horizontal="center"/>
    </xf>
    <xf numFmtId="0" fontId="19" fillId="2" borderId="45" xfId="0" applyFont="1" applyFill="1" applyBorder="1"/>
    <xf numFmtId="0" fontId="20" fillId="6" borderId="39" xfId="0" applyFont="1" applyFill="1" applyBorder="1" applyAlignment="1">
      <alignment horizontal="left" vertical="center" wrapText="1"/>
    </xf>
    <xf numFmtId="2" fontId="19" fillId="2" borderId="39" xfId="0" applyNumberFormat="1" applyFont="1" applyFill="1" applyBorder="1" applyAlignment="1">
      <alignment vertical="center"/>
    </xf>
    <xf numFmtId="0" fontId="19" fillId="2" borderId="45" xfId="0" applyFont="1" applyFill="1" applyBorder="1" applyAlignment="1">
      <alignment vertical="center"/>
    </xf>
    <xf numFmtId="0" fontId="6" fillId="2" borderId="45" xfId="0" applyFont="1" applyFill="1" applyBorder="1" applyAlignment="1">
      <alignment horizontal="center"/>
    </xf>
    <xf numFmtId="0" fontId="20" fillId="2" borderId="39" xfId="0" applyFont="1" applyFill="1" applyBorder="1" applyAlignment="1">
      <alignment horizontal="left" wrapText="1"/>
    </xf>
    <xf numFmtId="0" fontId="9" fillId="2" borderId="52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left" vertical="center"/>
    </xf>
    <xf numFmtId="0" fontId="19" fillId="2" borderId="53" xfId="0" applyFont="1" applyFill="1" applyBorder="1" applyAlignment="1">
      <alignment vertical="center"/>
    </xf>
    <xf numFmtId="164" fontId="19" fillId="2" borderId="53" xfId="0" applyNumberFormat="1" applyFont="1" applyFill="1" applyBorder="1" applyAlignment="1">
      <alignment vertical="center"/>
    </xf>
    <xf numFmtId="43" fontId="9" fillId="2" borderId="53" xfId="1" applyFont="1" applyFill="1" applyBorder="1" applyAlignment="1">
      <alignment vertical="center"/>
    </xf>
    <xf numFmtId="0" fontId="2" fillId="2" borderId="53" xfId="0" applyFont="1" applyFill="1" applyBorder="1" applyAlignment="1">
      <alignment vertical="center"/>
    </xf>
    <xf numFmtId="0" fontId="20" fillId="6" borderId="44" xfId="0" applyFont="1" applyFill="1" applyBorder="1" applyAlignment="1">
      <alignment horizontal="center" vertical="center"/>
    </xf>
    <xf numFmtId="0" fontId="20" fillId="6" borderId="45" xfId="0" applyFont="1" applyFill="1" applyBorder="1" applyAlignment="1">
      <alignment horizontal="center" vertical="center"/>
    </xf>
    <xf numFmtId="0" fontId="9" fillId="6" borderId="45" xfId="0" applyFont="1" applyFill="1" applyBorder="1" applyAlignment="1">
      <alignment horizontal="center" vertical="center"/>
    </xf>
    <xf numFmtId="164" fontId="20" fillId="6" borderId="45" xfId="0" applyNumberFormat="1" applyFont="1" applyFill="1" applyBorder="1" applyAlignment="1">
      <alignment vertical="center"/>
    </xf>
    <xf numFmtId="164" fontId="20" fillId="6" borderId="46" xfId="0" applyNumberFormat="1" applyFont="1" applyFill="1" applyBorder="1" applyAlignment="1">
      <alignment vertical="center"/>
    </xf>
    <xf numFmtId="0" fontId="19" fillId="7" borderId="50" xfId="0" applyFont="1" applyFill="1" applyBorder="1"/>
    <xf numFmtId="0" fontId="2" fillId="7" borderId="50" xfId="0" applyFont="1" applyFill="1" applyBorder="1"/>
    <xf numFmtId="0" fontId="2" fillId="7" borderId="51" xfId="0" applyFont="1" applyFill="1" applyBorder="1"/>
    <xf numFmtId="2" fontId="19" fillId="2" borderId="45" xfId="0" applyNumberFormat="1" applyFont="1" applyFill="1" applyBorder="1" applyAlignment="1">
      <alignment vertical="center"/>
    </xf>
    <xf numFmtId="9" fontId="24" fillId="2" borderId="14" xfId="0" applyNumberFormat="1" applyFont="1" applyFill="1" applyBorder="1" applyAlignment="1">
      <alignment vertical="center"/>
    </xf>
    <xf numFmtId="0" fontId="21" fillId="2" borderId="45" xfId="0" applyFont="1" applyFill="1" applyBorder="1" applyAlignment="1">
      <alignment horizontal="left" wrapText="1"/>
    </xf>
    <xf numFmtId="0" fontId="19" fillId="6" borderId="45" xfId="0" applyFont="1" applyFill="1" applyBorder="1"/>
    <xf numFmtId="0" fontId="3" fillId="2" borderId="34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4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21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8" fillId="2" borderId="3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3" fontId="9" fillId="10" borderId="26" xfId="0" applyNumberFormat="1" applyFont="1" applyFill="1" applyBorder="1" applyAlignment="1">
      <alignment horizontal="center" vertical="center"/>
    </xf>
    <xf numFmtId="43" fontId="9" fillId="10" borderId="27" xfId="0" applyNumberFormat="1" applyFont="1" applyFill="1" applyBorder="1" applyAlignment="1">
      <alignment horizontal="center" vertical="center"/>
    </xf>
    <xf numFmtId="0" fontId="16" fillId="3" borderId="36" xfId="2" applyFont="1" applyFill="1" applyBorder="1" applyAlignment="1" applyProtection="1">
      <alignment horizontal="center" vertical="center" wrapText="1"/>
    </xf>
    <xf numFmtId="0" fontId="16" fillId="3" borderId="3" xfId="2" applyFont="1" applyFill="1" applyBorder="1" applyAlignment="1" applyProtection="1">
      <alignment horizontal="center" vertical="center" wrapText="1"/>
    </xf>
    <xf numFmtId="0" fontId="21" fillId="7" borderId="49" xfId="0" applyFont="1" applyFill="1" applyBorder="1" applyAlignment="1">
      <alignment horizontal="left" vertical="center"/>
    </xf>
    <xf numFmtId="0" fontId="21" fillId="7" borderId="50" xfId="0" applyFont="1" applyFill="1" applyBorder="1" applyAlignment="1">
      <alignment horizontal="left" vertical="center"/>
    </xf>
    <xf numFmtId="43" fontId="9" fillId="9" borderId="21" xfId="1" applyFont="1" applyFill="1" applyBorder="1" applyAlignment="1">
      <alignment horizontal="center" vertical="center"/>
    </xf>
    <xf numFmtId="43" fontId="9" fillId="9" borderId="20" xfId="1" applyFont="1" applyFill="1" applyBorder="1" applyAlignment="1">
      <alignment horizontal="center" vertical="center"/>
    </xf>
    <xf numFmtId="43" fontId="9" fillId="9" borderId="2" xfId="1" applyFont="1" applyFill="1" applyBorder="1" applyAlignment="1">
      <alignment horizontal="center" vertical="center"/>
    </xf>
    <xf numFmtId="43" fontId="9" fillId="9" borderId="23" xfId="1" applyFont="1" applyFill="1" applyBorder="1" applyAlignment="1">
      <alignment horizontal="center" vertical="center"/>
    </xf>
    <xf numFmtId="0" fontId="17" fillId="4" borderId="36" xfId="2" applyFont="1" applyFill="1" applyBorder="1" applyAlignment="1" applyProtection="1">
      <alignment horizontal="center" vertical="center" wrapText="1"/>
    </xf>
    <xf numFmtId="0" fontId="17" fillId="4" borderId="4" xfId="2" applyFont="1" applyFill="1" applyBorder="1" applyAlignment="1" applyProtection="1">
      <alignment horizontal="center" vertical="center" wrapText="1"/>
    </xf>
    <xf numFmtId="0" fontId="16" fillId="4" borderId="5" xfId="2" applyFont="1" applyFill="1" applyBorder="1" applyAlignment="1" applyProtection="1">
      <alignment horizontal="center" vertical="center" wrapText="1"/>
    </xf>
    <xf numFmtId="0" fontId="16" fillId="4" borderId="3" xfId="2" applyFont="1" applyFill="1" applyBorder="1" applyAlignment="1" applyProtection="1">
      <alignment horizontal="center" vertical="center" wrapText="1"/>
    </xf>
    <xf numFmtId="0" fontId="16" fillId="4" borderId="6" xfId="2" applyFont="1" applyFill="1" applyBorder="1" applyAlignment="1" applyProtection="1">
      <alignment horizontal="center" vertical="center" wrapText="1"/>
    </xf>
    <xf numFmtId="0" fontId="16" fillId="4" borderId="7" xfId="2" applyFont="1" applyFill="1" applyBorder="1" applyAlignment="1" applyProtection="1">
      <alignment horizontal="center" vertical="center" wrapText="1"/>
    </xf>
    <xf numFmtId="0" fontId="17" fillId="5" borderId="42" xfId="0" applyFont="1" applyFill="1" applyBorder="1" applyAlignment="1" applyProtection="1">
      <alignment horizontal="center" vertical="center" wrapText="1"/>
      <protection locked="0" hidden="1"/>
    </xf>
    <xf numFmtId="0" fontId="17" fillId="5" borderId="41" xfId="0" applyFont="1" applyFill="1" applyBorder="1" applyAlignment="1" applyProtection="1">
      <alignment horizontal="center" vertical="center" wrapText="1"/>
      <protection locked="0" hidden="1"/>
    </xf>
    <xf numFmtId="0" fontId="17" fillId="5" borderId="13" xfId="0" applyFont="1" applyFill="1" applyBorder="1" applyAlignment="1" applyProtection="1">
      <alignment horizontal="center" vertical="center" wrapText="1"/>
      <protection locked="0" hidden="1"/>
    </xf>
    <xf numFmtId="43" fontId="19" fillId="0" borderId="0" xfId="0" applyNumberFormat="1" applyFont="1"/>
  </cellXfs>
  <cellStyles count="4">
    <cellStyle name="Comma" xfId="1" builtinId="3"/>
    <cellStyle name="Followed Hyperlink" xfId="2" builtinId="9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mran@groupary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"/>
  <sheetViews>
    <sheetView tabSelected="1" topLeftCell="A10" zoomScale="40" zoomScaleNormal="40" zoomScaleSheetLayoutView="10" workbookViewId="0">
      <selection activeCell="T37" sqref="T37"/>
    </sheetView>
  </sheetViews>
  <sheetFormatPr defaultColWidth="9.08984375" defaultRowHeight="12" x14ac:dyDescent="0.3"/>
  <cols>
    <col min="1" max="1" width="2" style="1" customWidth="1"/>
    <col min="2" max="2" width="8.36328125" style="1" customWidth="1"/>
    <col min="3" max="3" width="9" style="1" customWidth="1"/>
    <col min="4" max="4" width="27.90625" style="1" customWidth="1"/>
    <col min="5" max="5" width="41.7265625" style="1" bestFit="1" customWidth="1"/>
    <col min="6" max="6" width="12.6328125" style="1" customWidth="1"/>
    <col min="7" max="7" width="19.453125" style="1" customWidth="1"/>
    <col min="8" max="8" width="15.54296875" style="1" customWidth="1"/>
    <col min="9" max="9" width="12.36328125" style="1" customWidth="1"/>
    <col min="10" max="10" width="18.36328125" style="1" customWidth="1"/>
    <col min="11" max="11" width="25.08984375" style="1" customWidth="1"/>
    <col min="12" max="12" width="40.08984375" style="1" customWidth="1"/>
    <col min="13" max="13" width="13.453125" style="1" customWidth="1"/>
    <col min="14" max="14" width="21.453125" style="1" customWidth="1"/>
    <col min="15" max="15" width="11.6328125" style="1" customWidth="1"/>
    <col min="16" max="16" width="11.36328125" style="1" bestFit="1" customWidth="1"/>
    <col min="17" max="17" width="16.90625" style="1" customWidth="1"/>
    <col min="18" max="18" width="11.26953125" style="1" bestFit="1" customWidth="1"/>
    <col min="19" max="19" width="9.08984375" style="1"/>
    <col min="20" max="20" width="12.36328125" style="1" bestFit="1" customWidth="1"/>
    <col min="21" max="16384" width="9.08984375" style="1"/>
  </cols>
  <sheetData>
    <row r="1" spans="1:20" x14ac:dyDescent="0.3">
      <c r="A1" s="1" t="e">
        <f>+R1:AA48</f>
        <v>#VALUE!</v>
      </c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20" ht="30.5" thickBot="1" x14ac:dyDescent="0.8">
      <c r="B2" s="136" t="s">
        <v>51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</row>
    <row r="3" spans="1:20" ht="22" x14ac:dyDescent="0.55000000000000004">
      <c r="B3" s="144" t="s">
        <v>77</v>
      </c>
      <c r="C3" s="145"/>
      <c r="D3" s="145"/>
      <c r="E3" s="49"/>
      <c r="F3" s="49"/>
      <c r="G3" s="49"/>
      <c r="H3" s="49"/>
      <c r="I3" s="49"/>
      <c r="J3" s="138"/>
      <c r="K3" s="138"/>
      <c r="L3" s="138"/>
      <c r="M3" s="49"/>
      <c r="N3" s="49"/>
      <c r="O3" s="49"/>
      <c r="P3" s="139" t="s">
        <v>78</v>
      </c>
      <c r="Q3" s="140"/>
    </row>
    <row r="4" spans="1:20" ht="18.5" x14ac:dyDescent="0.4">
      <c r="B4" s="48" t="s">
        <v>63</v>
      </c>
      <c r="C4" s="44" t="s">
        <v>79</v>
      </c>
      <c r="D4" s="50"/>
      <c r="E4" s="3"/>
      <c r="F4" s="51"/>
      <c r="G4" s="51"/>
      <c r="H4" s="3"/>
      <c r="I4" s="52"/>
      <c r="J4" s="52"/>
      <c r="K4" s="52"/>
      <c r="L4" s="52"/>
      <c r="M4" s="3"/>
      <c r="N4" s="3"/>
      <c r="O4" s="3"/>
      <c r="P4" s="141" t="s">
        <v>95</v>
      </c>
      <c r="Q4" s="142"/>
    </row>
    <row r="5" spans="1:20" ht="18.5" x14ac:dyDescent="0.4">
      <c r="B5" s="54" t="s">
        <v>64</v>
      </c>
      <c r="C5" s="2"/>
      <c r="D5" s="55" t="s">
        <v>80</v>
      </c>
      <c r="E5" s="3"/>
      <c r="F5" s="51"/>
      <c r="G5" s="51"/>
      <c r="H5" s="3"/>
      <c r="I5" s="52"/>
      <c r="J5" s="52"/>
      <c r="K5" s="52"/>
      <c r="L5" s="52"/>
      <c r="M5" s="3"/>
      <c r="N5" s="3"/>
      <c r="O5" s="3"/>
      <c r="P5" s="53"/>
      <c r="Q5" s="53" t="s">
        <v>100</v>
      </c>
    </row>
    <row r="6" spans="1:20" ht="24" x14ac:dyDescent="0.6">
      <c r="B6" s="48" t="s">
        <v>56</v>
      </c>
      <c r="C6" s="2"/>
      <c r="D6" s="3"/>
      <c r="E6" s="3"/>
      <c r="F6" s="51"/>
      <c r="G6" s="51"/>
      <c r="H6" s="3"/>
      <c r="I6" s="52"/>
      <c r="J6" s="56"/>
      <c r="K6" s="56"/>
      <c r="L6" s="52"/>
      <c r="M6" s="3"/>
      <c r="N6" s="3"/>
      <c r="O6" s="3"/>
      <c r="P6" s="143"/>
      <c r="Q6" s="143"/>
    </row>
    <row r="7" spans="1:20" ht="18.5" x14ac:dyDescent="0.4">
      <c r="B7" s="48" t="s">
        <v>52</v>
      </c>
      <c r="C7" s="2"/>
      <c r="D7" s="3"/>
      <c r="E7" s="3"/>
      <c r="F7" s="51"/>
      <c r="G7" s="51"/>
      <c r="H7" s="3"/>
      <c r="I7" s="52"/>
      <c r="J7" s="52"/>
      <c r="K7" s="52"/>
      <c r="L7" s="52"/>
      <c r="M7" s="3"/>
      <c r="N7" s="3"/>
      <c r="O7" s="3"/>
      <c r="P7" s="57"/>
      <c r="Q7" s="57"/>
    </row>
    <row r="8" spans="1:20" ht="22" x14ac:dyDescent="0.55000000000000004">
      <c r="B8" s="58" t="s">
        <v>49</v>
      </c>
      <c r="C8" s="2"/>
      <c r="D8" s="3"/>
      <c r="E8" s="3"/>
      <c r="F8" s="51"/>
      <c r="G8" s="51"/>
      <c r="H8" s="3"/>
      <c r="I8" s="52"/>
      <c r="J8" s="59"/>
      <c r="K8" s="59"/>
      <c r="L8" s="52"/>
      <c r="M8" s="3"/>
      <c r="N8" s="3"/>
      <c r="O8" s="3"/>
      <c r="P8" s="57"/>
      <c r="Q8" s="57"/>
    </row>
    <row r="9" spans="1:20" ht="18.5" x14ac:dyDescent="0.4">
      <c r="B9" s="48"/>
      <c r="C9" s="2"/>
      <c r="D9" s="3"/>
      <c r="E9" s="3"/>
      <c r="F9" s="51"/>
      <c r="G9" s="51"/>
      <c r="H9" s="3"/>
      <c r="I9" s="52"/>
      <c r="J9" s="52"/>
      <c r="K9" s="52"/>
      <c r="L9" s="52"/>
      <c r="M9" s="3"/>
      <c r="N9" s="3"/>
      <c r="O9" s="3"/>
      <c r="P9" s="57"/>
      <c r="Q9" s="57"/>
    </row>
    <row r="10" spans="1:20" ht="16.5" thickBot="1" x14ac:dyDescent="0.45">
      <c r="B10" s="60"/>
      <c r="C10" s="2"/>
      <c r="D10" s="3"/>
      <c r="E10" s="3"/>
      <c r="F10" s="51"/>
      <c r="G10" s="51"/>
      <c r="H10" s="2"/>
      <c r="I10" s="52"/>
      <c r="J10" s="52"/>
      <c r="K10" s="52"/>
      <c r="L10" s="52"/>
      <c r="M10" s="3"/>
      <c r="N10" s="3"/>
      <c r="O10" s="3"/>
      <c r="P10" s="57"/>
      <c r="Q10" s="57"/>
    </row>
    <row r="11" spans="1:20" ht="19" thickBot="1" x14ac:dyDescent="0.35">
      <c r="B11" s="148" t="s">
        <v>66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</row>
    <row r="12" spans="1:20" ht="19" thickBot="1" x14ac:dyDescent="0.35">
      <c r="B12" s="156" t="s">
        <v>0</v>
      </c>
      <c r="C12" s="157"/>
      <c r="D12" s="158" t="s">
        <v>1</v>
      </c>
      <c r="E12" s="159"/>
      <c r="F12" s="159"/>
      <c r="G12" s="159"/>
      <c r="H12" s="159"/>
      <c r="I12" s="159"/>
      <c r="J12" s="160"/>
      <c r="K12" s="161" t="s">
        <v>2</v>
      </c>
      <c r="L12" s="159"/>
      <c r="M12" s="159"/>
      <c r="N12" s="159"/>
      <c r="O12" s="159"/>
      <c r="P12" s="159"/>
      <c r="Q12" s="159"/>
    </row>
    <row r="13" spans="1:20" s="4" customFormat="1" ht="41" thickBot="1" x14ac:dyDescent="0.4">
      <c r="B13" s="65" t="s">
        <v>3</v>
      </c>
      <c r="C13" s="66" t="s">
        <v>4</v>
      </c>
      <c r="D13" s="162" t="s">
        <v>5</v>
      </c>
      <c r="E13" s="163"/>
      <c r="F13" s="68" t="s">
        <v>6</v>
      </c>
      <c r="G13" s="69" t="s">
        <v>7</v>
      </c>
      <c r="H13" s="69" t="s">
        <v>8</v>
      </c>
      <c r="I13" s="69" t="s">
        <v>9</v>
      </c>
      <c r="J13" s="67" t="s">
        <v>10</v>
      </c>
      <c r="K13" s="164" t="s">
        <v>5</v>
      </c>
      <c r="L13" s="163"/>
      <c r="M13" s="70" t="s">
        <v>11</v>
      </c>
      <c r="N13" s="69" t="s">
        <v>7</v>
      </c>
      <c r="O13" s="69" t="s">
        <v>8</v>
      </c>
      <c r="P13" s="69" t="s">
        <v>12</v>
      </c>
      <c r="Q13" s="71" t="s">
        <v>13</v>
      </c>
    </row>
    <row r="14" spans="1:20" s="4" customFormat="1" ht="15" thickBot="1" x14ac:dyDescent="0.4">
      <c r="B14" s="87">
        <v>1</v>
      </c>
      <c r="C14" s="88">
        <v>68</v>
      </c>
      <c r="D14" s="89" t="s">
        <v>72</v>
      </c>
      <c r="E14" s="90" t="s">
        <v>73</v>
      </c>
      <c r="F14" s="112">
        <v>19000</v>
      </c>
      <c r="G14" s="112">
        <f>F14*C14</f>
        <v>1292000</v>
      </c>
      <c r="H14" s="112">
        <f>F14*18%</f>
        <v>3420</v>
      </c>
      <c r="I14" s="112">
        <f>F14+H14</f>
        <v>22420</v>
      </c>
      <c r="J14" s="116">
        <f>I14*C14</f>
        <v>1524560</v>
      </c>
      <c r="K14" s="89" t="s">
        <v>15</v>
      </c>
      <c r="L14" s="90" t="s">
        <v>16</v>
      </c>
      <c r="M14" s="91">
        <v>14400</v>
      </c>
      <c r="N14" s="91">
        <f>M14*C14</f>
        <v>979200</v>
      </c>
      <c r="O14" s="91">
        <f>M14*18%</f>
        <v>2592</v>
      </c>
      <c r="P14" s="92">
        <f>M14+O14</f>
        <v>16992</v>
      </c>
      <c r="Q14" s="93">
        <f>P14*C14</f>
        <v>1155456</v>
      </c>
      <c r="R14" s="165">
        <f>F14+M14</f>
        <v>33400</v>
      </c>
      <c r="S14" s="4">
        <v>1</v>
      </c>
      <c r="T14" s="165">
        <f>R14*S14</f>
        <v>33400</v>
      </c>
    </row>
    <row r="15" spans="1:20" s="4" customFormat="1" ht="20.25" customHeight="1" thickBot="1" x14ac:dyDescent="0.4">
      <c r="B15" s="94"/>
      <c r="C15" s="72"/>
      <c r="D15" s="76" t="s">
        <v>17</v>
      </c>
      <c r="E15" s="113" t="s">
        <v>81</v>
      </c>
      <c r="F15" s="74"/>
      <c r="G15" s="74"/>
      <c r="H15" s="74"/>
      <c r="I15" s="112"/>
      <c r="J15" s="116"/>
      <c r="K15" s="76" t="s">
        <v>55</v>
      </c>
      <c r="L15" s="77" t="s">
        <v>93</v>
      </c>
      <c r="M15" s="74"/>
      <c r="N15" s="74"/>
      <c r="O15" s="74"/>
      <c r="P15" s="75"/>
      <c r="Q15" s="95"/>
    </row>
    <row r="16" spans="1:20" s="4" customFormat="1" ht="29.5" thickBot="1" x14ac:dyDescent="0.55000000000000004">
      <c r="B16" s="94"/>
      <c r="C16" s="72"/>
      <c r="D16" s="76" t="s">
        <v>18</v>
      </c>
      <c r="E16" s="117" t="s">
        <v>82</v>
      </c>
      <c r="F16" s="64"/>
      <c r="G16" s="78"/>
      <c r="H16" s="64"/>
      <c r="I16" s="112"/>
      <c r="J16" s="116"/>
      <c r="K16" s="76" t="s">
        <v>19</v>
      </c>
      <c r="L16" s="113" t="s">
        <v>89</v>
      </c>
      <c r="M16" s="64"/>
      <c r="N16" s="64"/>
      <c r="O16" s="64"/>
      <c r="P16" s="64"/>
      <c r="Q16" s="96"/>
    </row>
    <row r="17" spans="2:20" s="4" customFormat="1" ht="19" thickBot="1" x14ac:dyDescent="0.55000000000000004">
      <c r="B17" s="94"/>
      <c r="C17" s="72"/>
      <c r="D17" s="76" t="s">
        <v>20</v>
      </c>
      <c r="E17" s="73" t="s">
        <v>83</v>
      </c>
      <c r="F17" s="64"/>
      <c r="G17" s="78"/>
      <c r="H17" s="64"/>
      <c r="I17" s="112"/>
      <c r="J17" s="116"/>
      <c r="K17" s="76" t="s">
        <v>21</v>
      </c>
      <c r="L17" s="76" t="s">
        <v>22</v>
      </c>
      <c r="M17" s="64"/>
      <c r="N17" s="64"/>
      <c r="O17" s="64"/>
      <c r="P17" s="64"/>
      <c r="Q17" s="96"/>
    </row>
    <row r="18" spans="2:20" s="4" customFormat="1" ht="29.5" thickBot="1" x14ac:dyDescent="0.55000000000000004">
      <c r="B18" s="94"/>
      <c r="C18" s="72"/>
      <c r="D18" s="76" t="s">
        <v>23</v>
      </c>
      <c r="E18" s="82" t="s">
        <v>91</v>
      </c>
      <c r="F18" s="64"/>
      <c r="G18" s="78"/>
      <c r="H18" s="64"/>
      <c r="I18" s="112"/>
      <c r="J18" s="116"/>
      <c r="K18" s="76" t="s">
        <v>24</v>
      </c>
      <c r="L18" s="76" t="s">
        <v>30</v>
      </c>
      <c r="M18" s="64"/>
      <c r="N18" s="64"/>
      <c r="O18" s="64"/>
      <c r="P18" s="64"/>
      <c r="Q18" s="96"/>
    </row>
    <row r="19" spans="2:20" s="4" customFormat="1" ht="29.5" thickBot="1" x14ac:dyDescent="0.45">
      <c r="B19" s="94"/>
      <c r="C19" s="72"/>
      <c r="D19" s="76" t="s">
        <v>62</v>
      </c>
      <c r="E19" s="82" t="s">
        <v>92</v>
      </c>
      <c r="F19" s="64"/>
      <c r="G19" s="79"/>
      <c r="H19" s="64"/>
      <c r="I19" s="112"/>
      <c r="J19" s="116"/>
      <c r="K19" s="76" t="s">
        <v>26</v>
      </c>
      <c r="L19" s="80" t="s">
        <v>27</v>
      </c>
      <c r="M19" s="64"/>
      <c r="N19" s="64"/>
      <c r="O19" s="64"/>
      <c r="P19" s="64"/>
      <c r="Q19" s="96"/>
    </row>
    <row r="20" spans="2:20" s="4" customFormat="1" ht="15" thickBot="1" x14ac:dyDescent="0.4">
      <c r="B20" s="94"/>
      <c r="C20" s="72"/>
      <c r="D20" s="84"/>
      <c r="E20" s="84"/>
      <c r="F20" s="64"/>
      <c r="G20" s="64"/>
      <c r="H20" s="64"/>
      <c r="I20" s="112"/>
      <c r="J20" s="116"/>
      <c r="K20" s="73"/>
      <c r="L20" s="84"/>
      <c r="M20" s="64"/>
      <c r="N20" s="64"/>
      <c r="O20" s="64"/>
      <c r="P20" s="75"/>
      <c r="Q20" s="95"/>
    </row>
    <row r="21" spans="2:20" s="4" customFormat="1" ht="15" thickBot="1" x14ac:dyDescent="0.4">
      <c r="B21" s="97"/>
      <c r="C21" s="98"/>
      <c r="D21" s="99" t="s">
        <v>28</v>
      </c>
      <c r="E21" s="99" t="s">
        <v>71</v>
      </c>
      <c r="F21" s="100"/>
      <c r="G21" s="100"/>
      <c r="H21" s="100"/>
      <c r="I21" s="112"/>
      <c r="J21" s="116"/>
      <c r="K21" s="99" t="s">
        <v>28</v>
      </c>
      <c r="L21" s="99" t="s">
        <v>71</v>
      </c>
      <c r="M21" s="100"/>
      <c r="N21" s="100"/>
      <c r="O21" s="100"/>
      <c r="P21" s="100"/>
      <c r="Q21" s="101"/>
    </row>
    <row r="22" spans="2:20" s="4" customFormat="1" ht="15" thickBot="1" x14ac:dyDescent="0.4">
      <c r="B22" s="5"/>
      <c r="C22" s="104"/>
      <c r="D22" s="8"/>
      <c r="E22" s="8"/>
      <c r="F22" s="7"/>
      <c r="G22" s="7"/>
      <c r="H22" s="7"/>
      <c r="I22" s="112"/>
      <c r="J22" s="116"/>
      <c r="K22" s="8"/>
      <c r="L22" s="8"/>
      <c r="M22" s="7"/>
      <c r="N22" s="7"/>
      <c r="O22" s="7"/>
      <c r="P22" s="7"/>
      <c r="Q22" s="6"/>
    </row>
    <row r="23" spans="2:20" s="4" customFormat="1" ht="14.5" x14ac:dyDescent="0.35">
      <c r="B23" s="87">
        <v>2</v>
      </c>
      <c r="C23" s="88">
        <v>164</v>
      </c>
      <c r="D23" s="134" t="s">
        <v>84</v>
      </c>
      <c r="E23" s="105" t="s">
        <v>14</v>
      </c>
      <c r="F23" s="135">
        <v>10900</v>
      </c>
      <c r="G23" s="115">
        <f>F23*C23</f>
        <v>1787600</v>
      </c>
      <c r="H23" s="132">
        <f>F23*18%</f>
        <v>1962</v>
      </c>
      <c r="I23" s="112">
        <f t="shared" ref="I23" si="0">F23+H23</f>
        <v>12862</v>
      </c>
      <c r="J23" s="116">
        <f t="shared" ref="J23" si="1">I23*C23</f>
        <v>2109368</v>
      </c>
      <c r="K23" s="134" t="s">
        <v>67</v>
      </c>
      <c r="L23" s="90" t="s">
        <v>50</v>
      </c>
      <c r="M23" s="91">
        <v>8100</v>
      </c>
      <c r="N23" s="91">
        <f>M23*C23</f>
        <v>1328400</v>
      </c>
      <c r="O23" s="91">
        <f>M23*18%</f>
        <v>1458</v>
      </c>
      <c r="P23" s="92">
        <f>M23+O23</f>
        <v>9558</v>
      </c>
      <c r="Q23" s="93">
        <f>P23*C23</f>
        <v>1567512</v>
      </c>
      <c r="R23" s="165">
        <f>F23+M23</f>
        <v>19000</v>
      </c>
      <c r="S23" s="4">
        <v>3</v>
      </c>
      <c r="T23" s="165">
        <f>R23*S23</f>
        <v>57000</v>
      </c>
    </row>
    <row r="24" spans="2:20" s="4" customFormat="1" ht="14.5" x14ac:dyDescent="0.35">
      <c r="B24" s="94"/>
      <c r="C24" s="72"/>
      <c r="D24" s="76" t="s">
        <v>17</v>
      </c>
      <c r="E24" s="113" t="s">
        <v>96</v>
      </c>
      <c r="F24" s="74"/>
      <c r="G24" s="85"/>
      <c r="H24" s="85"/>
      <c r="I24" s="85"/>
      <c r="J24" s="86"/>
      <c r="K24" s="76" t="s">
        <v>55</v>
      </c>
      <c r="L24" s="77" t="s">
        <v>93</v>
      </c>
      <c r="M24" s="74"/>
      <c r="N24" s="74"/>
      <c r="O24" s="74"/>
      <c r="P24" s="75"/>
      <c r="Q24" s="95"/>
    </row>
    <row r="25" spans="2:20" s="4" customFormat="1" ht="14.5" x14ac:dyDescent="0.35">
      <c r="B25" s="94"/>
      <c r="C25" s="72"/>
      <c r="D25" s="76" t="s">
        <v>18</v>
      </c>
      <c r="E25" s="73" t="s">
        <v>85</v>
      </c>
      <c r="F25" s="64"/>
      <c r="G25" s="85"/>
      <c r="H25" s="85"/>
      <c r="I25" s="85"/>
      <c r="J25" s="86"/>
      <c r="K25" s="76" t="s">
        <v>19</v>
      </c>
      <c r="L25" s="113" t="s">
        <v>94</v>
      </c>
      <c r="M25" s="64"/>
      <c r="N25" s="64"/>
      <c r="O25" s="64"/>
      <c r="P25" s="64"/>
      <c r="Q25" s="96"/>
    </row>
    <row r="26" spans="2:20" s="4" customFormat="1" ht="14.25" customHeight="1" x14ac:dyDescent="0.35">
      <c r="B26" s="94"/>
      <c r="C26" s="72"/>
      <c r="D26" s="76" t="s">
        <v>20</v>
      </c>
      <c r="E26" s="73" t="s">
        <v>68</v>
      </c>
      <c r="F26" s="64"/>
      <c r="G26" s="85"/>
      <c r="H26" s="85"/>
      <c r="I26" s="85"/>
      <c r="J26" s="86"/>
      <c r="K26" s="76" t="s">
        <v>21</v>
      </c>
      <c r="L26" s="76" t="s">
        <v>29</v>
      </c>
      <c r="M26" s="64"/>
      <c r="N26" s="64"/>
      <c r="O26" s="64"/>
      <c r="P26" s="64"/>
      <c r="Q26" s="96"/>
    </row>
    <row r="27" spans="2:20" s="4" customFormat="1" ht="36.75" customHeight="1" x14ac:dyDescent="0.35">
      <c r="B27" s="94"/>
      <c r="C27" s="72"/>
      <c r="D27" s="76" t="s">
        <v>23</v>
      </c>
      <c r="E27" s="82" t="s">
        <v>98</v>
      </c>
      <c r="F27" s="64"/>
      <c r="G27" s="85"/>
      <c r="H27" s="85"/>
      <c r="I27" s="85"/>
      <c r="J27" s="86"/>
      <c r="K27" s="76" t="s">
        <v>24</v>
      </c>
      <c r="L27" s="76" t="s">
        <v>30</v>
      </c>
      <c r="M27" s="64"/>
      <c r="N27" s="64"/>
      <c r="O27" s="64"/>
      <c r="P27" s="64"/>
      <c r="Q27" s="96"/>
    </row>
    <row r="28" spans="2:20" s="4" customFormat="1" ht="24" customHeight="1" x14ac:dyDescent="0.35">
      <c r="B28" s="102"/>
      <c r="C28" s="81"/>
      <c r="D28" s="76" t="s">
        <v>25</v>
      </c>
      <c r="E28" s="76" t="s">
        <v>99</v>
      </c>
      <c r="F28" s="83"/>
      <c r="G28" s="85"/>
      <c r="H28" s="85"/>
      <c r="I28" s="85"/>
      <c r="J28" s="86"/>
      <c r="K28" s="76" t="s">
        <v>26</v>
      </c>
      <c r="L28" s="80" t="s">
        <v>87</v>
      </c>
      <c r="M28" s="83"/>
      <c r="N28" s="83"/>
      <c r="O28" s="83"/>
      <c r="P28" s="83"/>
      <c r="Q28" s="103"/>
    </row>
    <row r="29" spans="2:20" s="4" customFormat="1" ht="14.5" x14ac:dyDescent="0.35">
      <c r="B29" s="94"/>
      <c r="C29" s="72"/>
      <c r="D29" s="76"/>
      <c r="E29" s="76"/>
      <c r="F29" s="64"/>
      <c r="G29" s="85"/>
      <c r="H29" s="85"/>
      <c r="I29" s="85"/>
      <c r="J29" s="86"/>
      <c r="K29" s="73"/>
      <c r="L29" s="84"/>
      <c r="M29" s="64"/>
      <c r="N29" s="64"/>
      <c r="O29" s="64"/>
      <c r="P29" s="75"/>
      <c r="Q29" s="95"/>
    </row>
    <row r="30" spans="2:20" s="4" customFormat="1" ht="15" thickBot="1" x14ac:dyDescent="0.4">
      <c r="B30" s="97"/>
      <c r="C30" s="98"/>
      <c r="D30" s="99" t="s">
        <v>28</v>
      </c>
      <c r="E30" s="99" t="s">
        <v>97</v>
      </c>
      <c r="F30" s="100"/>
      <c r="G30" s="106"/>
      <c r="H30" s="106"/>
      <c r="I30" s="106"/>
      <c r="J30" s="107"/>
      <c r="K30" s="99" t="s">
        <v>28</v>
      </c>
      <c r="L30" s="99" t="s">
        <v>75</v>
      </c>
      <c r="M30" s="100"/>
      <c r="N30" s="100"/>
      <c r="O30" s="100"/>
      <c r="P30" s="100"/>
      <c r="Q30" s="101"/>
    </row>
    <row r="31" spans="2:20" s="4" customFormat="1" ht="15" thickBot="1" x14ac:dyDescent="0.4">
      <c r="B31" s="5"/>
      <c r="C31" s="104"/>
      <c r="D31" s="8"/>
      <c r="E31" s="8"/>
      <c r="F31" s="7"/>
      <c r="G31" s="45"/>
      <c r="H31" s="45"/>
      <c r="I31" s="45"/>
      <c r="J31" s="108"/>
      <c r="K31" s="8"/>
      <c r="L31" s="8"/>
      <c r="M31" s="7"/>
      <c r="N31" s="7"/>
      <c r="O31" s="7"/>
      <c r="P31" s="7"/>
      <c r="Q31" s="6"/>
    </row>
    <row r="32" spans="2:20" s="4" customFormat="1" ht="14.5" x14ac:dyDescent="0.35">
      <c r="B32" s="87">
        <v>3</v>
      </c>
      <c r="C32" s="88">
        <v>172</v>
      </c>
      <c r="D32" s="134" t="s">
        <v>76</v>
      </c>
      <c r="E32" s="105" t="s">
        <v>57</v>
      </c>
      <c r="F32" s="135">
        <v>10702</v>
      </c>
      <c r="G32" s="112">
        <f>C32*F32</f>
        <v>1840744</v>
      </c>
      <c r="H32" s="112">
        <f t="shared" ref="H32" si="2">F32*18%</f>
        <v>1926.36</v>
      </c>
      <c r="I32" s="112">
        <f t="shared" ref="I32" si="3">F32+H32</f>
        <v>12628.36</v>
      </c>
      <c r="J32" s="116">
        <f t="shared" ref="J32" si="4">I32*C32</f>
        <v>2172077.92</v>
      </c>
      <c r="K32" s="89" t="s">
        <v>88</v>
      </c>
      <c r="L32" s="90" t="s">
        <v>16</v>
      </c>
      <c r="M32" s="91">
        <v>7900</v>
      </c>
      <c r="N32" s="91">
        <f t="shared" ref="N32" si="5">M32*C32</f>
        <v>1358800</v>
      </c>
      <c r="O32" s="91">
        <f t="shared" ref="O32" si="6">M32*18%</f>
        <v>1422</v>
      </c>
      <c r="P32" s="92">
        <f t="shared" ref="P32" si="7">M32+O32</f>
        <v>9322</v>
      </c>
      <c r="Q32" s="93">
        <f>P32*C32</f>
        <v>1603384</v>
      </c>
      <c r="R32" s="165">
        <f>F32+M32</f>
        <v>18602</v>
      </c>
      <c r="S32" s="4">
        <v>3</v>
      </c>
      <c r="T32" s="165">
        <f>R32*S32</f>
        <v>55806</v>
      </c>
    </row>
    <row r="33" spans="2:20" s="4" customFormat="1" ht="14.5" x14ac:dyDescent="0.35">
      <c r="B33" s="94"/>
      <c r="C33" s="72"/>
      <c r="D33" s="76" t="s">
        <v>17</v>
      </c>
      <c r="E33" s="113" t="s">
        <v>74</v>
      </c>
      <c r="F33" s="74"/>
      <c r="G33" s="85"/>
      <c r="H33" s="85"/>
      <c r="I33" s="85"/>
      <c r="J33" s="86"/>
      <c r="K33" s="76" t="s">
        <v>55</v>
      </c>
      <c r="L33" s="77" t="s">
        <v>93</v>
      </c>
      <c r="M33" s="74"/>
      <c r="N33" s="74"/>
      <c r="O33" s="74"/>
      <c r="P33" s="75"/>
      <c r="Q33" s="95"/>
    </row>
    <row r="34" spans="2:20" s="4" customFormat="1" ht="14.5" x14ac:dyDescent="0.35">
      <c r="B34" s="94"/>
      <c r="C34" s="72"/>
      <c r="D34" s="76" t="s">
        <v>18</v>
      </c>
      <c r="E34" s="73" t="s">
        <v>90</v>
      </c>
      <c r="F34" s="64"/>
      <c r="G34" s="85"/>
      <c r="H34" s="85"/>
      <c r="I34" s="114"/>
      <c r="J34" s="86"/>
      <c r="K34" s="76" t="s">
        <v>19</v>
      </c>
      <c r="L34" s="113" t="s">
        <v>94</v>
      </c>
      <c r="M34" s="64"/>
      <c r="N34" s="74"/>
      <c r="O34" s="74"/>
      <c r="P34" s="75"/>
      <c r="Q34" s="95"/>
    </row>
    <row r="35" spans="2:20" s="4" customFormat="1" ht="14.5" x14ac:dyDescent="0.35">
      <c r="B35" s="94"/>
      <c r="C35" s="72"/>
      <c r="D35" s="76" t="s">
        <v>20</v>
      </c>
      <c r="E35" s="73" t="s">
        <v>68</v>
      </c>
      <c r="F35" s="64"/>
      <c r="G35" s="85"/>
      <c r="H35" s="85"/>
      <c r="I35" s="85"/>
      <c r="J35" s="86"/>
      <c r="K35" s="76" t="s">
        <v>21</v>
      </c>
      <c r="L35" s="76" t="s">
        <v>29</v>
      </c>
      <c r="M35" s="64"/>
      <c r="N35" s="74"/>
      <c r="O35" s="74"/>
      <c r="P35" s="75"/>
      <c r="Q35" s="95"/>
      <c r="T35" s="165">
        <f>SUM(T14:T34)</f>
        <v>146206</v>
      </c>
    </row>
    <row r="36" spans="2:20" s="4" customFormat="1" ht="14.5" x14ac:dyDescent="0.35">
      <c r="B36" s="94"/>
      <c r="C36" s="72"/>
      <c r="D36" s="76" t="s">
        <v>58</v>
      </c>
      <c r="E36" s="82" t="s">
        <v>98</v>
      </c>
      <c r="F36" s="64"/>
      <c r="G36" s="85"/>
      <c r="H36" s="85"/>
      <c r="I36" s="85"/>
      <c r="J36" s="86"/>
      <c r="K36" s="76" t="s">
        <v>24</v>
      </c>
      <c r="L36" s="76" t="s">
        <v>30</v>
      </c>
      <c r="M36" s="64"/>
      <c r="N36" s="74"/>
      <c r="O36" s="74"/>
      <c r="P36" s="75"/>
      <c r="Q36" s="95"/>
      <c r="T36" s="165">
        <f>T35*1.18</f>
        <v>172523.08</v>
      </c>
    </row>
    <row r="37" spans="2:20" s="4" customFormat="1" ht="14.5" x14ac:dyDescent="0.35">
      <c r="B37" s="102"/>
      <c r="C37" s="81"/>
      <c r="D37" s="76" t="s">
        <v>25</v>
      </c>
      <c r="E37" s="76" t="s">
        <v>99</v>
      </c>
      <c r="F37" s="83"/>
      <c r="G37" s="85"/>
      <c r="H37" s="85"/>
      <c r="I37" s="85"/>
      <c r="J37" s="86"/>
      <c r="K37" s="76" t="s">
        <v>60</v>
      </c>
      <c r="L37" s="80" t="s">
        <v>86</v>
      </c>
      <c r="M37" s="83"/>
      <c r="N37" s="74"/>
      <c r="O37" s="74"/>
      <c r="P37" s="75"/>
      <c r="Q37" s="95"/>
    </row>
    <row r="38" spans="2:20" s="4" customFormat="1" ht="14.5" x14ac:dyDescent="0.35">
      <c r="B38" s="94"/>
      <c r="C38" s="72"/>
      <c r="D38" s="76"/>
      <c r="E38" s="76"/>
      <c r="F38" s="64"/>
      <c r="G38" s="85"/>
      <c r="H38" s="85"/>
      <c r="I38" s="85"/>
      <c r="J38" s="86"/>
      <c r="K38" s="73"/>
      <c r="L38" s="84"/>
      <c r="M38" s="64"/>
      <c r="N38" s="74"/>
      <c r="O38" s="74"/>
      <c r="P38" s="75"/>
      <c r="Q38" s="95"/>
    </row>
    <row r="39" spans="2:20" s="4" customFormat="1" ht="15" thickBot="1" x14ac:dyDescent="0.4">
      <c r="B39" s="97"/>
      <c r="C39" s="98"/>
      <c r="D39" s="99" t="s">
        <v>59</v>
      </c>
      <c r="E39" s="99" t="s">
        <v>97</v>
      </c>
      <c r="F39" s="100"/>
      <c r="G39" s="106"/>
      <c r="H39" s="106"/>
      <c r="I39" s="106"/>
      <c r="J39" s="107"/>
      <c r="K39" s="99" t="s">
        <v>28</v>
      </c>
      <c r="L39" s="99" t="s">
        <v>75</v>
      </c>
      <c r="M39" s="100"/>
      <c r="N39" s="109"/>
      <c r="O39" s="109"/>
      <c r="P39" s="110"/>
      <c r="Q39" s="111"/>
    </row>
    <row r="40" spans="2:20" s="9" customFormat="1" ht="16" x14ac:dyDescent="0.35">
      <c r="B40" s="124" t="s">
        <v>65</v>
      </c>
      <c r="C40" s="125">
        <f>SUM(C14:C39)</f>
        <v>404</v>
      </c>
      <c r="D40" s="126"/>
      <c r="E40" s="126"/>
      <c r="F40" s="127"/>
      <c r="G40" s="127">
        <f>SUM(G14:G39)</f>
        <v>4920344</v>
      </c>
      <c r="H40" s="127"/>
      <c r="I40" s="127"/>
      <c r="J40" s="127">
        <f>SUM(J14:J39)</f>
        <v>5806005.9199999999</v>
      </c>
      <c r="K40" s="127"/>
      <c r="L40" s="127"/>
      <c r="M40" s="127"/>
      <c r="N40" s="127">
        <f>SUM(N14:N39)</f>
        <v>3666400</v>
      </c>
      <c r="O40" s="127"/>
      <c r="P40" s="127"/>
      <c r="Q40" s="128">
        <f>SUM(Q14:Q39)</f>
        <v>4326352</v>
      </c>
    </row>
    <row r="41" spans="2:20" s="9" customFormat="1" ht="19" thickBot="1" x14ac:dyDescent="0.4">
      <c r="B41" s="150" t="s">
        <v>31</v>
      </c>
      <c r="C41" s="151"/>
      <c r="D41" s="151"/>
      <c r="E41" s="151"/>
      <c r="F41" s="151"/>
      <c r="G41" s="151"/>
      <c r="H41" s="151"/>
      <c r="I41" s="151"/>
      <c r="J41" s="151"/>
      <c r="K41" s="151"/>
      <c r="L41" s="129"/>
      <c r="M41" s="130"/>
      <c r="N41" s="130"/>
      <c r="O41" s="130"/>
      <c r="P41" s="130"/>
      <c r="Q41" s="131"/>
    </row>
    <row r="42" spans="2:20" s="9" customFormat="1" ht="22" x14ac:dyDescent="0.35">
      <c r="B42" s="118">
        <v>1</v>
      </c>
      <c r="C42" s="119" t="s">
        <v>53</v>
      </c>
      <c r="D42" s="119"/>
      <c r="E42" s="120"/>
      <c r="F42" s="120"/>
      <c r="G42" s="120"/>
      <c r="H42" s="121"/>
      <c r="I42" s="120"/>
      <c r="J42" s="120"/>
      <c r="K42" s="120"/>
      <c r="L42" s="122"/>
      <c r="M42" s="123"/>
      <c r="N42" s="123"/>
      <c r="O42" s="123"/>
      <c r="P42" s="123"/>
      <c r="Q42" s="123"/>
    </row>
    <row r="43" spans="2:20" s="9" customFormat="1" ht="22" x14ac:dyDescent="0.35">
      <c r="B43" s="61">
        <v>2</v>
      </c>
      <c r="C43" s="10" t="s">
        <v>32</v>
      </c>
      <c r="D43" s="10"/>
      <c r="E43" s="11"/>
      <c r="F43" s="11"/>
      <c r="G43" s="11"/>
      <c r="H43" s="11"/>
      <c r="I43" s="11"/>
      <c r="J43" s="11"/>
      <c r="K43" s="11"/>
      <c r="L43" s="12"/>
      <c r="M43" s="13"/>
      <c r="N43" s="13"/>
      <c r="O43" s="13"/>
      <c r="P43" s="13"/>
      <c r="Q43" s="13"/>
    </row>
    <row r="44" spans="2:20" s="33" customFormat="1" ht="16" x14ac:dyDescent="0.35">
      <c r="B44" s="61">
        <v>3</v>
      </c>
      <c r="C44" s="10" t="s">
        <v>69</v>
      </c>
      <c r="D44" s="133" t="s">
        <v>70</v>
      </c>
      <c r="E44" s="11"/>
      <c r="F44" s="11"/>
      <c r="G44" s="11"/>
      <c r="H44" s="11"/>
      <c r="I44" s="11"/>
      <c r="J44" s="11"/>
      <c r="K44" s="11"/>
      <c r="L44" s="14"/>
      <c r="M44" s="13"/>
      <c r="N44" s="13"/>
      <c r="O44" s="13"/>
      <c r="P44" s="13"/>
      <c r="Q44" s="13"/>
    </row>
    <row r="45" spans="2:20" s="33" customFormat="1" ht="22.5" thickBot="1" x14ac:dyDescent="0.4">
      <c r="B45" s="61">
        <v>4</v>
      </c>
      <c r="C45" s="10" t="s">
        <v>33</v>
      </c>
      <c r="D45" s="10"/>
      <c r="E45" s="11"/>
      <c r="F45" s="11"/>
      <c r="G45" s="11"/>
      <c r="H45" s="11"/>
      <c r="I45" s="11"/>
      <c r="J45" s="11"/>
      <c r="K45" s="11"/>
      <c r="L45" s="11"/>
      <c r="M45" s="15"/>
      <c r="N45" s="15"/>
      <c r="O45" s="15"/>
      <c r="P45" s="13"/>
      <c r="Q45" s="13"/>
    </row>
    <row r="46" spans="2:20" s="33" customFormat="1" ht="23" thickTop="1" thickBot="1" x14ac:dyDescent="0.4">
      <c r="B46" s="61">
        <v>5</v>
      </c>
      <c r="C46" s="16" t="s">
        <v>34</v>
      </c>
      <c r="D46" s="16"/>
      <c r="E46" s="17"/>
      <c r="F46" s="11"/>
      <c r="G46" s="11"/>
      <c r="H46" s="11"/>
      <c r="I46" s="11"/>
      <c r="J46" s="11"/>
      <c r="K46" s="18" t="s">
        <v>35</v>
      </c>
      <c r="L46" s="19"/>
      <c r="M46" s="15"/>
      <c r="N46" s="20" t="s">
        <v>36</v>
      </c>
      <c r="O46" s="21"/>
      <c r="P46" s="22"/>
      <c r="Q46" s="13"/>
    </row>
    <row r="47" spans="2:20" s="33" customFormat="1" ht="22.5" thickTop="1" x14ac:dyDescent="0.35">
      <c r="B47" s="61">
        <v>6</v>
      </c>
      <c r="C47" s="10" t="s">
        <v>54</v>
      </c>
      <c r="D47" s="10"/>
      <c r="E47" s="15"/>
      <c r="F47" s="15"/>
      <c r="G47" s="15"/>
      <c r="H47" s="15"/>
      <c r="I47" s="11"/>
      <c r="J47" s="11"/>
      <c r="K47" s="23" t="s">
        <v>37</v>
      </c>
      <c r="L47" s="24">
        <f>G40</f>
        <v>4920344</v>
      </c>
      <c r="M47" s="15"/>
      <c r="N47" s="23" t="s">
        <v>37</v>
      </c>
      <c r="O47" s="152">
        <f>J40</f>
        <v>5806005.9199999999</v>
      </c>
      <c r="P47" s="153"/>
      <c r="Q47" s="13"/>
    </row>
    <row r="48" spans="2:20" s="33" customFormat="1" ht="16.5" thickBot="1" x14ac:dyDescent="0.4">
      <c r="B48" s="61">
        <v>7</v>
      </c>
      <c r="C48" s="10" t="s">
        <v>38</v>
      </c>
      <c r="D48" s="10"/>
      <c r="E48" s="11"/>
      <c r="F48" s="25"/>
      <c r="G48" s="25"/>
      <c r="H48" s="25"/>
      <c r="I48" s="25"/>
      <c r="J48" s="25"/>
      <c r="K48" s="26" t="s">
        <v>39</v>
      </c>
      <c r="L48" s="27">
        <f>N40</f>
        <v>3666400</v>
      </c>
      <c r="M48" s="15"/>
      <c r="N48" s="26" t="s">
        <v>39</v>
      </c>
      <c r="O48" s="154">
        <f>Q40</f>
        <v>4326352</v>
      </c>
      <c r="P48" s="155"/>
      <c r="Q48" s="13"/>
    </row>
    <row r="49" spans="2:18" ht="22.5" thickBot="1" x14ac:dyDescent="0.35">
      <c r="B49" s="61">
        <v>8</v>
      </c>
      <c r="C49" s="10" t="s">
        <v>40</v>
      </c>
      <c r="D49" s="10"/>
      <c r="E49" s="28"/>
      <c r="F49" s="11"/>
      <c r="G49" s="11"/>
      <c r="H49" s="11"/>
      <c r="I49" s="11"/>
      <c r="J49" s="11"/>
      <c r="K49" s="29" t="s">
        <v>41</v>
      </c>
      <c r="L49" s="30">
        <f>L47+L48</f>
        <v>8586744</v>
      </c>
      <c r="M49" s="15"/>
      <c r="N49" s="29" t="s">
        <v>41</v>
      </c>
      <c r="O49" s="146">
        <f>O47+O48</f>
        <v>10132357.92</v>
      </c>
      <c r="P49" s="147"/>
      <c r="Q49" s="13"/>
      <c r="R49" s="3"/>
    </row>
    <row r="50" spans="2:18" ht="22.5" thickTop="1" x14ac:dyDescent="0.3">
      <c r="B50" s="61">
        <v>9</v>
      </c>
      <c r="C50" s="10" t="s">
        <v>42</v>
      </c>
      <c r="D50" s="10"/>
      <c r="E50" s="31"/>
      <c r="F50" s="11"/>
      <c r="G50" s="11"/>
      <c r="H50" s="11"/>
      <c r="I50" s="11"/>
      <c r="J50" s="11"/>
      <c r="M50" s="15"/>
      <c r="Q50" s="13"/>
      <c r="R50" s="3"/>
    </row>
    <row r="51" spans="2:18" ht="22" x14ac:dyDescent="0.3">
      <c r="B51" s="61">
        <v>10</v>
      </c>
      <c r="C51" s="10" t="s">
        <v>43</v>
      </c>
      <c r="D51" s="32"/>
      <c r="E51" s="11"/>
      <c r="F51" s="11"/>
      <c r="G51" s="11"/>
      <c r="H51" s="11"/>
      <c r="I51" s="11"/>
      <c r="J51" s="11"/>
      <c r="K51" s="11"/>
      <c r="L51" s="13"/>
      <c r="M51" s="13"/>
      <c r="N51" s="13"/>
      <c r="O51" s="13"/>
      <c r="P51" s="13"/>
      <c r="Q51" s="13"/>
      <c r="R51" s="3"/>
    </row>
    <row r="52" spans="2:18" ht="22" x14ac:dyDescent="0.3">
      <c r="B52" s="61">
        <v>11</v>
      </c>
      <c r="C52" s="32" t="s">
        <v>44</v>
      </c>
      <c r="D52" s="32"/>
      <c r="E52" s="28"/>
      <c r="F52" s="11"/>
      <c r="G52" s="11"/>
      <c r="H52" s="11"/>
      <c r="I52" s="11"/>
      <c r="J52" s="11"/>
      <c r="K52" s="11"/>
      <c r="L52" s="13"/>
      <c r="M52" s="13"/>
      <c r="N52" s="13"/>
      <c r="O52" s="13"/>
      <c r="P52" s="13"/>
      <c r="Q52" s="13"/>
      <c r="R52" s="3"/>
    </row>
    <row r="53" spans="2:18" ht="16" x14ac:dyDescent="0.3">
      <c r="B53" s="61">
        <v>12</v>
      </c>
      <c r="C53" s="32" t="s">
        <v>45</v>
      </c>
      <c r="D53" s="10"/>
      <c r="E53" s="34"/>
      <c r="F53" s="11"/>
      <c r="G53" s="11"/>
      <c r="H53" s="11"/>
      <c r="I53" s="11"/>
      <c r="J53" s="11"/>
      <c r="K53" s="11"/>
      <c r="L53" s="13"/>
      <c r="M53" s="13"/>
      <c r="N53" s="13"/>
      <c r="O53" s="13"/>
      <c r="P53" s="13"/>
      <c r="Q53" s="13"/>
      <c r="R53" s="3"/>
    </row>
    <row r="54" spans="2:18" ht="22" x14ac:dyDescent="0.3">
      <c r="B54" s="61">
        <v>13</v>
      </c>
      <c r="C54" s="10" t="s">
        <v>46</v>
      </c>
      <c r="D54" s="35"/>
      <c r="E54" s="28"/>
      <c r="F54" s="11"/>
      <c r="G54" s="11"/>
      <c r="H54" s="11"/>
      <c r="I54" s="11"/>
      <c r="J54" s="11"/>
      <c r="K54" s="11"/>
      <c r="L54" s="13"/>
      <c r="M54" s="13"/>
      <c r="N54" s="13"/>
      <c r="O54" s="13"/>
      <c r="P54" s="13"/>
      <c r="Q54" s="13"/>
      <c r="R54" s="3"/>
    </row>
    <row r="55" spans="2:18" ht="16" x14ac:dyDescent="0.4">
      <c r="B55" s="62">
        <v>14</v>
      </c>
      <c r="C55" s="36" t="s">
        <v>47</v>
      </c>
      <c r="D55" s="37"/>
      <c r="E55" s="38"/>
      <c r="F55" s="39"/>
      <c r="G55" s="39"/>
      <c r="H55" s="39"/>
      <c r="I55" s="39"/>
      <c r="J55" s="39"/>
      <c r="K55" s="39"/>
      <c r="L55" s="40"/>
      <c r="M55" s="40"/>
      <c r="N55" s="40"/>
      <c r="O55" s="40"/>
      <c r="P55" s="40"/>
      <c r="Q55" s="40"/>
      <c r="R55" s="3"/>
    </row>
    <row r="56" spans="2:18" ht="16.5" thickBot="1" x14ac:dyDescent="0.35">
      <c r="B56" s="63"/>
      <c r="C56" s="41" t="s">
        <v>48</v>
      </c>
      <c r="D56" s="42"/>
      <c r="E56" s="42"/>
      <c r="F56" s="42"/>
      <c r="G56" s="42"/>
      <c r="H56" s="42"/>
      <c r="I56" s="42"/>
      <c r="J56" s="42"/>
      <c r="K56" s="42"/>
      <c r="L56" s="43"/>
      <c r="M56" s="43"/>
      <c r="N56" s="43"/>
      <c r="O56" s="43"/>
      <c r="P56" s="43"/>
      <c r="Q56" s="43"/>
      <c r="R56" s="3"/>
    </row>
    <row r="57" spans="2:18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2:18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2:18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2:18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2:18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2:18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2:18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2:18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2:17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2:17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2:17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2:17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2:17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4" spans="2:17" x14ac:dyDescent="0.3">
      <c r="K74" s="1" t="s">
        <v>61</v>
      </c>
    </row>
  </sheetData>
  <mergeCells count="16">
    <mergeCell ref="O49:P49"/>
    <mergeCell ref="B11:Q11"/>
    <mergeCell ref="B41:K41"/>
    <mergeCell ref="O47:P47"/>
    <mergeCell ref="O48:P48"/>
    <mergeCell ref="B12:C12"/>
    <mergeCell ref="D12:J12"/>
    <mergeCell ref="K12:Q12"/>
    <mergeCell ref="D13:E13"/>
    <mergeCell ref="K13:L13"/>
    <mergeCell ref="B2:Q2"/>
    <mergeCell ref="J3:L3"/>
    <mergeCell ref="P3:Q3"/>
    <mergeCell ref="P4:Q4"/>
    <mergeCell ref="P6:Q6"/>
    <mergeCell ref="B3:D3"/>
  </mergeCells>
  <hyperlinks>
    <hyperlink ref="B8" r:id="rId1" display="mailto:imran@grouparyan.com" xr:uid="{00000000-0004-0000-0000-000000000000}"/>
  </hyperlinks>
  <printOptions horizontalCentered="1"/>
  <pageMargins left="0" right="0" top="0" bottom="0" header="0.31496062992126" footer="0.31496062992126"/>
  <pageSetup paperSize="9" scale="43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HP</cp:lastModifiedBy>
  <cp:lastPrinted>2026-01-06T08:13:20Z</cp:lastPrinted>
  <dcterms:created xsi:type="dcterms:W3CDTF">2024-09-10T05:06:32Z</dcterms:created>
  <dcterms:modified xsi:type="dcterms:W3CDTF">2026-05-15T13:24:07Z</dcterms:modified>
</cp:coreProperties>
</file>